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aik\Downloads\"/>
    </mc:Choice>
  </mc:AlternateContent>
  <xr:revisionPtr revIDLastSave="0" documentId="8_{0FF9C49C-D9A8-4A70-8A69-4FC79296FD6A}" xr6:coauthVersionLast="47" xr6:coauthVersionMax="47" xr10:uidLastSave="{00000000-0000-0000-0000-000000000000}"/>
  <bookViews>
    <workbookView xWindow="-96" yWindow="0" windowWidth="11712" windowHeight="13056" xr2:uid="{F6C459E9-294A-4B35-9673-643899E64790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2" i="1"/>
  <c r="F3" i="1"/>
  <c r="F4" i="1"/>
  <c r="F5" i="1"/>
  <c r="F6" i="1"/>
  <c r="F7" i="1"/>
  <c r="F8" i="1"/>
  <c r="F2" i="1"/>
  <c r="D3" i="2"/>
  <c r="D4" i="2"/>
  <c r="D5" i="2"/>
  <c r="D6" i="2"/>
  <c r="D7" i="2"/>
  <c r="D8" i="2"/>
  <c r="D2" i="2"/>
</calcChain>
</file>

<file path=xl/sharedStrings.xml><?xml version="1.0" encoding="utf-8"?>
<sst xmlns="http://schemas.openxmlformats.org/spreadsheetml/2006/main" count="39" uniqueCount="31">
  <si>
    <t>ticket_id</t>
  </si>
  <si>
    <t>created_at</t>
  </si>
  <si>
    <t>closed_at</t>
  </si>
  <si>
    <t>outlet_id</t>
  </si>
  <si>
    <t>cms_id</t>
  </si>
  <si>
    <t>T1</t>
  </si>
  <si>
    <t>T2</t>
  </si>
  <si>
    <t>T3</t>
  </si>
  <si>
    <t>T4</t>
  </si>
  <si>
    <t>T5</t>
  </si>
  <si>
    <t>T6</t>
  </si>
  <si>
    <t>T7</t>
  </si>
  <si>
    <t>O1</t>
  </si>
  <si>
    <t>O2</t>
  </si>
  <si>
    <t>O3</t>
  </si>
  <si>
    <t>O4</t>
  </si>
  <si>
    <t>O5</t>
  </si>
  <si>
    <t>O6</t>
  </si>
  <si>
    <t>O7</t>
  </si>
  <si>
    <t>C1</t>
  </si>
  <si>
    <t>C2</t>
  </si>
  <si>
    <t>C3</t>
  </si>
  <si>
    <t>C4</t>
  </si>
  <si>
    <t>C5</t>
  </si>
  <si>
    <t>C6</t>
  </si>
  <si>
    <t>C7</t>
  </si>
  <si>
    <t>feedback_at</t>
  </si>
  <si>
    <t>rating</t>
  </si>
  <si>
    <t>ticket_created_at</t>
  </si>
  <si>
    <t>same day</t>
  </si>
  <si>
    <t>same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</si>
</sst>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D510-C19C-4025-909D-4EEF219FCF53}">
  <dimension ref="A1:G8"/>
  <sheetViews>
    <sheetView tabSelected="1" workbookViewId="0">
      <selection activeCell="D13" sqref="D13"/>
    </sheetView>
  </sheetViews>
  <sheetFormatPr defaultRowHeight="14.4" x14ac:dyDescent="0.3"/>
  <cols>
    <col min="2" max="2" width="29.33203125" customWidth="1"/>
    <col min="3" max="3" width="18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  <c r="G1" t="s">
        <v>30</v>
      </c>
    </row>
    <row r="2" spans="1:7" x14ac:dyDescent="0.3">
      <c r="A2" t="s">
        <v>5</v>
      </c>
      <c r="B2" s="1">
        <v>45888.697916666664</v>
      </c>
      <c r="C2" s="1">
        <v>45888</v>
      </c>
      <c r="D2" t="s">
        <v>12</v>
      </c>
      <c r="E2" t="s">
        <v>19</v>
      </c>
      <c r="F2" t="b">
        <f>INT(B2)=INT(C2)</f>
        <v>1</v>
      </c>
      <c r="G2" t="b">
        <f>HOUR(B2)=HOUR(C2)</f>
        <v>0</v>
      </c>
    </row>
    <row r="3" spans="1:7" x14ac:dyDescent="0.3">
      <c r="A3" t="s">
        <v>6</v>
      </c>
      <c r="B3" s="1">
        <v>45889.95416666667</v>
      </c>
      <c r="C3" s="1">
        <v>45889.95416666667</v>
      </c>
      <c r="D3" t="s">
        <v>13</v>
      </c>
      <c r="E3" t="s">
        <v>20</v>
      </c>
      <c r="F3" t="b">
        <f t="shared" ref="F3:F8" si="0">INT(B3)=INT(C3)</f>
        <v>1</v>
      </c>
      <c r="G3" t="b">
        <f t="shared" ref="G3:G9" si="1">HOUR(B3)=HOUR(C3)</f>
        <v>1</v>
      </c>
    </row>
    <row r="4" spans="1:7" x14ac:dyDescent="0.3">
      <c r="A4" t="s">
        <v>7</v>
      </c>
      <c r="B4" s="1">
        <v>45890.034722222219</v>
      </c>
      <c r="C4" s="1">
        <v>45893.034722222219</v>
      </c>
      <c r="D4" t="s">
        <v>14</v>
      </c>
      <c r="E4" t="s">
        <v>21</v>
      </c>
      <c r="F4" t="b">
        <f t="shared" si="0"/>
        <v>0</v>
      </c>
      <c r="G4" t="b">
        <f t="shared" si="1"/>
        <v>1</v>
      </c>
    </row>
    <row r="5" spans="1:7" x14ac:dyDescent="0.3">
      <c r="A5" t="s">
        <v>8</v>
      </c>
      <c r="B5" s="1">
        <v>45891.614583333336</v>
      </c>
      <c r="C5" s="1">
        <v>45891.683333333334</v>
      </c>
      <c r="D5" t="s">
        <v>15</v>
      </c>
      <c r="E5" t="s">
        <v>22</v>
      </c>
      <c r="F5" t="b">
        <f t="shared" si="0"/>
        <v>1</v>
      </c>
      <c r="G5" t="b">
        <f t="shared" si="1"/>
        <v>0</v>
      </c>
    </row>
    <row r="6" spans="1:7" x14ac:dyDescent="0.3">
      <c r="A6" t="s">
        <v>9</v>
      </c>
      <c r="B6" s="1">
        <v>45892.170138888891</v>
      </c>
      <c r="C6" s="1">
        <v>45893.170138888891</v>
      </c>
      <c r="D6" t="s">
        <v>16</v>
      </c>
      <c r="E6" t="s">
        <v>23</v>
      </c>
      <c r="F6" t="b">
        <f t="shared" si="0"/>
        <v>0</v>
      </c>
      <c r="G6" t="b">
        <f t="shared" si="1"/>
        <v>1</v>
      </c>
    </row>
    <row r="7" spans="1:7" x14ac:dyDescent="0.3">
      <c r="A7" t="s">
        <v>10</v>
      </c>
      <c r="B7" s="1">
        <v>45893.270833333336</v>
      </c>
      <c r="C7" s="1">
        <v>45893.3125</v>
      </c>
      <c r="D7" t="s">
        <v>17</v>
      </c>
      <c r="E7" t="s">
        <v>24</v>
      </c>
      <c r="F7" t="b">
        <f t="shared" si="0"/>
        <v>1</v>
      </c>
      <c r="G7" t="b">
        <f t="shared" si="1"/>
        <v>0</v>
      </c>
    </row>
    <row r="8" spans="1:7" x14ac:dyDescent="0.3">
      <c r="A8" t="s">
        <v>11</v>
      </c>
      <c r="B8" s="1">
        <v>45894.294444444444</v>
      </c>
      <c r="C8" s="1">
        <v>45894.272916666669</v>
      </c>
      <c r="D8" t="s">
        <v>18</v>
      </c>
      <c r="E8" t="s">
        <v>25</v>
      </c>
      <c r="F8" t="b">
        <f t="shared" si="0"/>
        <v>1</v>
      </c>
      <c r="G8" t="b">
        <f t="shared" si="1"/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C8A9-A8B7-406F-B52D-A75A5D1C93D0}">
  <dimension ref="A1:D8"/>
  <sheetViews>
    <sheetView workbookViewId="0">
      <selection activeCell="D2" sqref="D2:D8"/>
    </sheetView>
  </sheetViews>
  <sheetFormatPr defaultRowHeight="14.4" x14ac:dyDescent="0.3"/>
  <cols>
    <col min="2" max="2" width="12.6640625" customWidth="1"/>
    <col min="4" max="4" width="17.5546875" customWidth="1"/>
  </cols>
  <sheetData>
    <row r="1" spans="1:4" x14ac:dyDescent="0.3">
      <c r="A1" t="s">
        <v>4</v>
      </c>
      <c r="B1" t="s">
        <v>26</v>
      </c>
      <c r="C1" t="s">
        <v>27</v>
      </c>
      <c r="D1" t="s">
        <v>28</v>
      </c>
    </row>
    <row r="2" spans="1:4" x14ac:dyDescent="0.3">
      <c r="A2" t="s">
        <v>19</v>
      </c>
      <c r="B2" s="1">
        <v>45888</v>
      </c>
      <c r="C2">
        <v>5</v>
      </c>
      <c r="D2" s="1">
        <f>INDEX(ticket!B:B, MATCH(A2, ticket!E:E, 0))</f>
        <v>45888.697916666664</v>
      </c>
    </row>
    <row r="3" spans="1:4" x14ac:dyDescent="0.3">
      <c r="A3" t="s">
        <v>20</v>
      </c>
      <c r="B3" s="1">
        <v>45889</v>
      </c>
      <c r="C3">
        <v>5</v>
      </c>
      <c r="D3" s="1">
        <f>INDEX(ticket!B:B, MATCH(A3, ticket!E:E, 0))</f>
        <v>45889.95416666667</v>
      </c>
    </row>
    <row r="4" spans="1:4" x14ac:dyDescent="0.3">
      <c r="A4" t="s">
        <v>21</v>
      </c>
      <c r="B4" s="1">
        <v>45890</v>
      </c>
      <c r="C4">
        <v>4</v>
      </c>
      <c r="D4" s="1">
        <f>INDEX(ticket!B:B, MATCH(A4, ticket!E:E, 0))</f>
        <v>45890.034722222219</v>
      </c>
    </row>
    <row r="5" spans="1:4" x14ac:dyDescent="0.3">
      <c r="A5" t="s">
        <v>22</v>
      </c>
      <c r="B5" s="1">
        <v>45891</v>
      </c>
      <c r="C5">
        <v>3</v>
      </c>
      <c r="D5" s="1">
        <f>INDEX(ticket!B:B, MATCH(A5, ticket!E:E, 0))</f>
        <v>45891.614583333336</v>
      </c>
    </row>
    <row r="6" spans="1:4" x14ac:dyDescent="0.3">
      <c r="A6" t="s">
        <v>23</v>
      </c>
      <c r="B6" s="1">
        <v>45892</v>
      </c>
      <c r="C6">
        <v>2</v>
      </c>
      <c r="D6" s="1">
        <f>INDEX(ticket!B:B, MATCH(A6, ticket!E:E, 0))</f>
        <v>45892.170138888891</v>
      </c>
    </row>
    <row r="7" spans="1:4" x14ac:dyDescent="0.3">
      <c r="A7" t="s">
        <v>24</v>
      </c>
      <c r="B7" s="1">
        <v>45893</v>
      </c>
      <c r="C7">
        <v>5</v>
      </c>
      <c r="D7" s="1">
        <f>INDEX(ticket!B:B, MATCH(A7, ticket!E:E, 0))</f>
        <v>45893.270833333336</v>
      </c>
    </row>
    <row r="8" spans="1:4" x14ac:dyDescent="0.3">
      <c r="A8" t="s">
        <v>25</v>
      </c>
      <c r="B8" s="1">
        <v>45894</v>
      </c>
      <c r="C8">
        <v>1</v>
      </c>
      <c r="D8" s="1">
        <f>INDEX(ticket!B:B, MATCH(A8, ticket!E:E, 0))</f>
        <v>45894.294444444444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Kamal Kumarikuntla</dc:creator>
  <cp:lastModifiedBy>Sai Kamal Kumarikuntla</cp:lastModifiedBy>
  <dcterms:created xsi:type="dcterms:W3CDTF">2026-04-09T09:11:23Z</dcterms:created>
  <dcterms:modified xsi:type="dcterms:W3CDTF">2026-04-09T09:26:11Z</dcterms:modified>
</cp:coreProperties>
</file>